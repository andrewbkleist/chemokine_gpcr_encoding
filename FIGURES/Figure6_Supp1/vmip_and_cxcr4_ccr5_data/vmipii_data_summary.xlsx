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leist/Desktop/Volkman_Lab/BABU_VOLKMAN/CHEMOKINE_PRJ/Data/chemokine_gpcr_ms/FIGURES/Figure3/data/"/>
    </mc:Choice>
  </mc:AlternateContent>
  <xr:revisionPtr revIDLastSave="0" documentId="13_ncr:1_{317AC8DA-859D-1A46-B97A-2650FF7F576D}" xr6:coauthVersionLast="47" xr6:coauthVersionMax="47" xr10:uidLastSave="{00000000-0000-0000-0000-000000000000}"/>
  <bookViews>
    <workbookView xWindow="380" yWindow="460" windowWidth="28040" windowHeight="17040" xr2:uid="{E83FB4DB-479C-1B4F-BFA6-9FC694A2D1F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2" l="1"/>
  <c r="G26" i="2"/>
  <c r="G25" i="2"/>
  <c r="G23" i="2"/>
  <c r="F23" i="2"/>
  <c r="F24" i="2"/>
  <c r="F25" i="2"/>
  <c r="F26" i="2"/>
  <c r="F22" i="2"/>
  <c r="G16" i="2"/>
  <c r="G15" i="2"/>
  <c r="G14" i="2"/>
  <c r="G13" i="2"/>
  <c r="F13" i="2"/>
  <c r="F14" i="2"/>
  <c r="F15" i="2"/>
  <c r="F16" i="2"/>
  <c r="F12" i="2"/>
  <c r="G6" i="2"/>
  <c r="G5" i="2"/>
  <c r="G4" i="2"/>
  <c r="G3" i="2"/>
  <c r="F3" i="2"/>
  <c r="F4" i="2"/>
  <c r="F5" i="2"/>
  <c r="F6" i="2"/>
  <c r="F2" i="2"/>
</calcChain>
</file>

<file path=xl/sharedStrings.xml><?xml version="1.0" encoding="utf-8"?>
<sst xmlns="http://schemas.openxmlformats.org/spreadsheetml/2006/main" count="191" uniqueCount="17">
  <si>
    <t>receptor</t>
  </si>
  <si>
    <t>mutant</t>
  </si>
  <si>
    <t>metric</t>
  </si>
  <si>
    <t>value</t>
  </si>
  <si>
    <t>ccr3</t>
  </si>
  <si>
    <t>ccr5</t>
  </si>
  <si>
    <t>R7I</t>
  </si>
  <si>
    <t>K10T</t>
  </si>
  <si>
    <t>L13F</t>
  </si>
  <si>
    <t>R7I_K10T_L13F</t>
  </si>
  <si>
    <t>WT</t>
  </si>
  <si>
    <t>cxcr4</t>
  </si>
  <si>
    <t>EC50</t>
  </si>
  <si>
    <t>Emax</t>
  </si>
  <si>
    <t>Emin</t>
  </si>
  <si>
    <t>log(Emax/EC50)</t>
  </si>
  <si>
    <t>∆log(Emax/EC50)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</si>
</sst>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FE09-FAC4-3C49-94B5-5249AB979A69}">
  <dimension ref="A1:E36"/>
  <sheetViews>
    <sheetView tabSelected="1" workbookViewId="0">
      <selection activeCell="H20" sqref="H2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 t="s">
        <v>4</v>
      </c>
      <c r="B2" t="s">
        <v>10</v>
      </c>
      <c r="C2" t="s">
        <v>13</v>
      </c>
      <c r="D2" s="1">
        <v>1.206</v>
      </c>
    </row>
    <row r="3" spans="1:5" x14ac:dyDescent="0.2">
      <c r="A3" t="s">
        <v>4</v>
      </c>
      <c r="B3" t="s">
        <v>6</v>
      </c>
      <c r="C3" t="s">
        <v>13</v>
      </c>
      <c r="D3" s="1">
        <v>1.5349999999999999</v>
      </c>
    </row>
    <row r="4" spans="1:5" x14ac:dyDescent="0.2">
      <c r="A4" t="s">
        <v>4</v>
      </c>
      <c r="B4" t="s">
        <v>7</v>
      </c>
      <c r="C4" t="s">
        <v>13</v>
      </c>
      <c r="D4" s="1">
        <v>1.3069999999999999</v>
      </c>
    </row>
    <row r="5" spans="1:5" x14ac:dyDescent="0.2">
      <c r="A5" t="s">
        <v>4</v>
      </c>
      <c r="B5" t="s">
        <v>8</v>
      </c>
      <c r="C5" t="s">
        <v>13</v>
      </c>
      <c r="D5" s="1">
        <v>1.0900000000000001</v>
      </c>
    </row>
    <row r="6" spans="1:5" x14ac:dyDescent="0.2">
      <c r="A6" t="s">
        <v>4</v>
      </c>
      <c r="B6" t="s">
        <v>9</v>
      </c>
      <c r="C6" t="s">
        <v>13</v>
      </c>
      <c r="D6" s="1">
        <v>1.6459999999999999</v>
      </c>
    </row>
    <row r="7" spans="1:5" x14ac:dyDescent="0.2">
      <c r="A7" t="s">
        <v>4</v>
      </c>
      <c r="B7" t="s">
        <v>10</v>
      </c>
      <c r="C7" t="s">
        <v>12</v>
      </c>
      <c r="D7" s="1">
        <v>1.3459999999999999E-9</v>
      </c>
    </row>
    <row r="8" spans="1:5" x14ac:dyDescent="0.2">
      <c r="A8" t="s">
        <v>4</v>
      </c>
      <c r="B8" t="s">
        <v>6</v>
      </c>
      <c r="C8" t="s">
        <v>12</v>
      </c>
      <c r="D8" s="1">
        <v>3.7949999999999998E-10</v>
      </c>
    </row>
    <row r="9" spans="1:5" x14ac:dyDescent="0.2">
      <c r="A9" t="s">
        <v>4</v>
      </c>
      <c r="B9" t="s">
        <v>7</v>
      </c>
      <c r="C9" t="s">
        <v>12</v>
      </c>
      <c r="D9" s="1">
        <v>5.8439999999999997E-10</v>
      </c>
    </row>
    <row r="10" spans="1:5" x14ac:dyDescent="0.2">
      <c r="A10" t="s">
        <v>4</v>
      </c>
      <c r="B10" t="s">
        <v>8</v>
      </c>
      <c r="C10" t="s">
        <v>12</v>
      </c>
      <c r="D10" s="1">
        <v>5.3440000000000004E-10</v>
      </c>
    </row>
    <row r="11" spans="1:5" x14ac:dyDescent="0.2">
      <c r="A11" t="s">
        <v>4</v>
      </c>
      <c r="B11" t="s">
        <v>9</v>
      </c>
      <c r="C11" t="s">
        <v>12</v>
      </c>
      <c r="D11" s="1">
        <v>1.1059999999999999E-9</v>
      </c>
    </row>
    <row r="12" spans="1:5" x14ac:dyDescent="0.2">
      <c r="A12" t="s">
        <v>5</v>
      </c>
      <c r="B12" t="s">
        <v>10</v>
      </c>
      <c r="C12" t="s">
        <v>14</v>
      </c>
      <c r="D12" s="1">
        <v>-0.1273</v>
      </c>
    </row>
    <row r="13" spans="1:5" x14ac:dyDescent="0.2">
      <c r="A13" t="s">
        <v>5</v>
      </c>
      <c r="B13" t="s">
        <v>6</v>
      </c>
      <c r="C13" t="s">
        <v>14</v>
      </c>
      <c r="D13" s="1">
        <v>10.199999999999999</v>
      </c>
      <c r="E13" s="1"/>
    </row>
    <row r="14" spans="1:5" x14ac:dyDescent="0.2">
      <c r="A14" t="s">
        <v>5</v>
      </c>
      <c r="B14" t="s">
        <v>7</v>
      </c>
      <c r="C14" t="s">
        <v>14</v>
      </c>
      <c r="D14" s="1">
        <v>1.353</v>
      </c>
      <c r="E14" s="1"/>
    </row>
    <row r="15" spans="1:5" x14ac:dyDescent="0.2">
      <c r="A15" t="s">
        <v>5</v>
      </c>
      <c r="B15" t="s">
        <v>8</v>
      </c>
      <c r="C15" t="s">
        <v>14</v>
      </c>
      <c r="D15" s="1">
        <v>-0.75190000000000001</v>
      </c>
    </row>
    <row r="16" spans="1:5" x14ac:dyDescent="0.2">
      <c r="A16" t="s">
        <v>5</v>
      </c>
      <c r="B16" t="s">
        <v>9</v>
      </c>
      <c r="C16" t="s">
        <v>14</v>
      </c>
      <c r="D16" s="1">
        <v>36.07</v>
      </c>
      <c r="E16" s="1"/>
    </row>
    <row r="17" spans="1:4" x14ac:dyDescent="0.2">
      <c r="A17" t="s">
        <v>5</v>
      </c>
      <c r="B17" t="s">
        <v>10</v>
      </c>
      <c r="C17" t="s">
        <v>12</v>
      </c>
      <c r="D17" s="1">
        <v>9.3350000000000005E-9</v>
      </c>
    </row>
    <row r="18" spans="1:4" x14ac:dyDescent="0.2">
      <c r="A18" t="s">
        <v>5</v>
      </c>
      <c r="B18" t="s">
        <v>6</v>
      </c>
      <c r="C18" t="s">
        <v>12</v>
      </c>
      <c r="D18" s="1">
        <v>7.4250000000000006E-8</v>
      </c>
    </row>
    <row r="19" spans="1:4" x14ac:dyDescent="0.2">
      <c r="A19" t="s">
        <v>5</v>
      </c>
      <c r="B19" t="s">
        <v>7</v>
      </c>
      <c r="C19" t="s">
        <v>12</v>
      </c>
      <c r="D19" s="1">
        <v>7.2449999999999997E-9</v>
      </c>
    </row>
    <row r="20" spans="1:4" x14ac:dyDescent="0.2">
      <c r="A20" t="s">
        <v>5</v>
      </c>
      <c r="B20" t="s">
        <v>8</v>
      </c>
      <c r="C20" t="s">
        <v>12</v>
      </c>
      <c r="D20" s="1">
        <v>4.4700000000000003E-8</v>
      </c>
    </row>
    <row r="21" spans="1:4" x14ac:dyDescent="0.2">
      <c r="A21" t="s">
        <v>5</v>
      </c>
      <c r="B21" t="s">
        <v>9</v>
      </c>
      <c r="C21" t="s">
        <v>12</v>
      </c>
      <c r="D21" s="1">
        <v>1.237E-7</v>
      </c>
    </row>
    <row r="22" spans="1:4" x14ac:dyDescent="0.2">
      <c r="A22" t="s">
        <v>11</v>
      </c>
      <c r="B22" t="s">
        <v>10</v>
      </c>
      <c r="C22" t="s">
        <v>14</v>
      </c>
      <c r="D22" s="1">
        <v>-18.39</v>
      </c>
    </row>
    <row r="23" spans="1:4" x14ac:dyDescent="0.2">
      <c r="A23" t="s">
        <v>11</v>
      </c>
      <c r="B23" t="s">
        <v>6</v>
      </c>
      <c r="C23" t="s">
        <v>14</v>
      </c>
      <c r="D23" s="1">
        <v>-33.26</v>
      </c>
    </row>
    <row r="24" spans="1:4" x14ac:dyDescent="0.2">
      <c r="A24" t="s">
        <v>11</v>
      </c>
      <c r="B24" t="s">
        <v>7</v>
      </c>
      <c r="C24" t="s">
        <v>14</v>
      </c>
      <c r="D24" s="1">
        <v>-15.35</v>
      </c>
    </row>
    <row r="25" spans="1:4" x14ac:dyDescent="0.2">
      <c r="A25" t="s">
        <v>11</v>
      </c>
      <c r="B25" t="s">
        <v>8</v>
      </c>
      <c r="C25" t="s">
        <v>14</v>
      </c>
      <c r="D25" s="1">
        <v>-27.51</v>
      </c>
    </row>
    <row r="26" spans="1:4" x14ac:dyDescent="0.2">
      <c r="A26" t="s">
        <v>11</v>
      </c>
      <c r="B26" t="s">
        <v>9</v>
      </c>
      <c r="C26" t="s">
        <v>14</v>
      </c>
      <c r="D26" s="1">
        <v>-39.04</v>
      </c>
    </row>
    <row r="27" spans="1:4" x14ac:dyDescent="0.2">
      <c r="A27" t="s">
        <v>11</v>
      </c>
      <c r="B27" t="s">
        <v>10</v>
      </c>
      <c r="C27" t="s">
        <v>12</v>
      </c>
      <c r="D27" s="1">
        <v>9.3350000000000005E-9</v>
      </c>
    </row>
    <row r="28" spans="1:4" x14ac:dyDescent="0.2">
      <c r="A28" t="s">
        <v>11</v>
      </c>
      <c r="B28" t="s">
        <v>6</v>
      </c>
      <c r="C28" t="s">
        <v>12</v>
      </c>
      <c r="D28" s="1">
        <v>7.4250000000000006E-8</v>
      </c>
    </row>
    <row r="29" spans="1:4" x14ac:dyDescent="0.2">
      <c r="A29" t="s">
        <v>11</v>
      </c>
      <c r="B29" t="s">
        <v>7</v>
      </c>
      <c r="C29" t="s">
        <v>12</v>
      </c>
      <c r="D29" s="1">
        <v>7.2449999999999997E-9</v>
      </c>
    </row>
    <row r="30" spans="1:4" x14ac:dyDescent="0.2">
      <c r="A30" t="s">
        <v>11</v>
      </c>
      <c r="B30" t="s">
        <v>8</v>
      </c>
      <c r="C30" t="s">
        <v>12</v>
      </c>
      <c r="D30" s="1">
        <v>4.4700000000000003E-8</v>
      </c>
    </row>
    <row r="31" spans="1:4" x14ac:dyDescent="0.2">
      <c r="A31" t="s">
        <v>11</v>
      </c>
      <c r="B31" t="s">
        <v>9</v>
      </c>
      <c r="C31" t="s">
        <v>12</v>
      </c>
      <c r="D31" s="1">
        <v>1.237E-7</v>
      </c>
    </row>
    <row r="32" spans="1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7EF6-5FF4-CC45-B650-68720584AEFA}">
  <dimension ref="A1:G31"/>
  <sheetViews>
    <sheetView workbookViewId="0">
      <selection activeCell="G24" sqref="G24"/>
    </sheetView>
  </sheetViews>
  <sheetFormatPr baseColWidth="10" defaultRowHeight="16" x14ac:dyDescent="0.2"/>
  <cols>
    <col min="6" max="6" width="12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13</v>
      </c>
      <c r="E1" t="s">
        <v>12</v>
      </c>
      <c r="F1" t="s">
        <v>15</v>
      </c>
      <c r="G1" t="s">
        <v>16</v>
      </c>
    </row>
    <row r="2" spans="1:7" x14ac:dyDescent="0.2">
      <c r="A2" t="s">
        <v>4</v>
      </c>
      <c r="B2" t="s">
        <v>10</v>
      </c>
      <c r="C2" t="s">
        <v>13</v>
      </c>
      <c r="D2" s="1">
        <v>1.206</v>
      </c>
      <c r="E2" s="1">
        <v>1.3459999999999999E-9</v>
      </c>
      <c r="F2">
        <f>LOG(D2/E2)</f>
        <v>8.9523022479161742</v>
      </c>
    </row>
    <row r="3" spans="1:7" x14ac:dyDescent="0.2">
      <c r="A3" t="s">
        <v>4</v>
      </c>
      <c r="B3" t="s">
        <v>6</v>
      </c>
      <c r="C3" t="s">
        <v>13</v>
      </c>
      <c r="D3" s="1">
        <v>1.5349999999999999</v>
      </c>
      <c r="E3" s="1">
        <v>3.7949999999999998E-10</v>
      </c>
      <c r="F3">
        <f t="shared" ref="F3:F6" si="0">LOG(D3/E3)</f>
        <v>9.6068965995817059</v>
      </c>
      <c r="G3">
        <f>F3-F2</f>
        <v>0.6545943516655317</v>
      </c>
    </row>
    <row r="4" spans="1:7" x14ac:dyDescent="0.2">
      <c r="A4" t="s">
        <v>4</v>
      </c>
      <c r="B4" t="s">
        <v>7</v>
      </c>
      <c r="C4" t="s">
        <v>13</v>
      </c>
      <c r="D4" s="1">
        <v>1.3069999999999999</v>
      </c>
      <c r="E4" s="1">
        <v>5.8439999999999997E-10</v>
      </c>
      <c r="F4">
        <f t="shared" si="0"/>
        <v>9.3495653803182854</v>
      </c>
      <c r="G4">
        <f>F4-F2</f>
        <v>0.3972631324021112</v>
      </c>
    </row>
    <row r="5" spans="1:7" x14ac:dyDescent="0.2">
      <c r="A5" t="s">
        <v>4</v>
      </c>
      <c r="B5" t="s">
        <v>8</v>
      </c>
      <c r="C5" t="s">
        <v>13</v>
      </c>
      <c r="D5" s="1">
        <v>1.0900000000000001</v>
      </c>
      <c r="E5" s="1">
        <v>5.3440000000000004E-10</v>
      </c>
      <c r="F5">
        <f t="shared" si="0"/>
        <v>9.3095600484731342</v>
      </c>
      <c r="G5">
        <f>F5-F2</f>
        <v>0.35725780055695999</v>
      </c>
    </row>
    <row r="6" spans="1:7" x14ac:dyDescent="0.2">
      <c r="A6" t="s">
        <v>4</v>
      </c>
      <c r="B6" t="s">
        <v>9</v>
      </c>
      <c r="C6" t="s">
        <v>13</v>
      </c>
      <c r="D6" s="1">
        <v>1.6459999999999999</v>
      </c>
      <c r="E6" s="1">
        <v>1.1059999999999999E-9</v>
      </c>
      <c r="F6">
        <f t="shared" si="0"/>
        <v>9.1726747039075711</v>
      </c>
      <c r="G6">
        <f>F6-F2</f>
        <v>0.22037245599139688</v>
      </c>
    </row>
    <row r="7" spans="1:7" x14ac:dyDescent="0.2">
      <c r="A7" t="s">
        <v>4</v>
      </c>
      <c r="B7" t="s">
        <v>10</v>
      </c>
      <c r="C7" t="s">
        <v>12</v>
      </c>
    </row>
    <row r="8" spans="1:7" x14ac:dyDescent="0.2">
      <c r="A8" t="s">
        <v>4</v>
      </c>
      <c r="B8" t="s">
        <v>6</v>
      </c>
      <c r="C8" t="s">
        <v>12</v>
      </c>
    </row>
    <row r="9" spans="1:7" x14ac:dyDescent="0.2">
      <c r="A9" t="s">
        <v>4</v>
      </c>
      <c r="B9" t="s">
        <v>7</v>
      </c>
      <c r="C9" t="s">
        <v>12</v>
      </c>
    </row>
    <row r="10" spans="1:7" x14ac:dyDescent="0.2">
      <c r="A10" t="s">
        <v>4</v>
      </c>
      <c r="B10" t="s">
        <v>8</v>
      </c>
      <c r="C10" t="s">
        <v>12</v>
      </c>
    </row>
    <row r="11" spans="1:7" x14ac:dyDescent="0.2">
      <c r="A11" t="s">
        <v>4</v>
      </c>
      <c r="B11" t="s">
        <v>9</v>
      </c>
      <c r="C11" t="s">
        <v>12</v>
      </c>
    </row>
    <row r="12" spans="1:7" x14ac:dyDescent="0.2">
      <c r="A12" t="s">
        <v>5</v>
      </c>
      <c r="B12" t="s">
        <v>10</v>
      </c>
      <c r="C12" t="s">
        <v>14</v>
      </c>
      <c r="D12" s="1">
        <v>-0.1273</v>
      </c>
      <c r="E12" s="1">
        <v>9.3350000000000005E-9</v>
      </c>
      <c r="F12">
        <f>LOG(ABS(D12)/E12)</f>
        <v>7.1347140813685579</v>
      </c>
    </row>
    <row r="13" spans="1:7" x14ac:dyDescent="0.2">
      <c r="A13" t="s">
        <v>5</v>
      </c>
      <c r="B13" t="s">
        <v>6</v>
      </c>
      <c r="C13" t="s">
        <v>14</v>
      </c>
      <c r="D13" s="1">
        <v>10.199999999999999</v>
      </c>
      <c r="E13" s="1">
        <v>7.4250000000000006E-8</v>
      </c>
      <c r="F13">
        <f t="shared" ref="F13:F16" si="1">LOG(ABS(D13)/E13)</f>
        <v>8.1379037137726673</v>
      </c>
      <c r="G13">
        <f>F13-F12</f>
        <v>1.0031896324041094</v>
      </c>
    </row>
    <row r="14" spans="1:7" x14ac:dyDescent="0.2">
      <c r="A14" t="s">
        <v>5</v>
      </c>
      <c r="B14" t="s">
        <v>7</v>
      </c>
      <c r="C14" t="s">
        <v>14</v>
      </c>
      <c r="D14" s="1">
        <v>1.353</v>
      </c>
      <c r="E14" s="1">
        <v>7.2449999999999997E-9</v>
      </c>
      <c r="F14">
        <f t="shared" si="1"/>
        <v>8.2712594067904295</v>
      </c>
      <c r="G14">
        <f>F14-F12</f>
        <v>1.1365453254218716</v>
      </c>
    </row>
    <row r="15" spans="1:7" x14ac:dyDescent="0.2">
      <c r="A15" t="s">
        <v>5</v>
      </c>
      <c r="B15" t="s">
        <v>8</v>
      </c>
      <c r="C15" t="s">
        <v>14</v>
      </c>
      <c r="D15" s="1">
        <v>-0.75190000000000001</v>
      </c>
      <c r="E15" s="1">
        <v>4.4700000000000003E-8</v>
      </c>
      <c r="F15">
        <f t="shared" si="1"/>
        <v>7.2258525616936913</v>
      </c>
      <c r="G15">
        <f>F15-F12</f>
        <v>9.1138480325133386E-2</v>
      </c>
    </row>
    <row r="16" spans="1:7" x14ac:dyDescent="0.2">
      <c r="A16" t="s">
        <v>5</v>
      </c>
      <c r="B16" t="s">
        <v>9</v>
      </c>
      <c r="C16" t="s">
        <v>14</v>
      </c>
      <c r="D16" s="1">
        <v>36.07</v>
      </c>
      <c r="E16" s="1">
        <v>1.237E-7</v>
      </c>
      <c r="F16">
        <f t="shared" si="1"/>
        <v>8.4647764426892422</v>
      </c>
      <c r="G16">
        <f>F16-F12</f>
        <v>1.3300623613206843</v>
      </c>
    </row>
    <row r="17" spans="1:7" x14ac:dyDescent="0.2">
      <c r="A17" t="s">
        <v>5</v>
      </c>
      <c r="B17" t="s">
        <v>10</v>
      </c>
      <c r="C17" t="s">
        <v>12</v>
      </c>
    </row>
    <row r="18" spans="1:7" x14ac:dyDescent="0.2">
      <c r="A18" t="s">
        <v>5</v>
      </c>
      <c r="B18" t="s">
        <v>6</v>
      </c>
      <c r="C18" t="s">
        <v>12</v>
      </c>
    </row>
    <row r="19" spans="1:7" x14ac:dyDescent="0.2">
      <c r="A19" t="s">
        <v>5</v>
      </c>
      <c r="B19" t="s">
        <v>7</v>
      </c>
      <c r="C19" t="s">
        <v>12</v>
      </c>
    </row>
    <row r="20" spans="1:7" x14ac:dyDescent="0.2">
      <c r="A20" t="s">
        <v>5</v>
      </c>
      <c r="B20" t="s">
        <v>8</v>
      </c>
      <c r="C20" t="s">
        <v>12</v>
      </c>
    </row>
    <row r="21" spans="1:7" x14ac:dyDescent="0.2">
      <c r="A21" t="s">
        <v>5</v>
      </c>
      <c r="B21" t="s">
        <v>9</v>
      </c>
      <c r="C21" t="s">
        <v>12</v>
      </c>
    </row>
    <row r="22" spans="1:7" x14ac:dyDescent="0.2">
      <c r="A22" t="s">
        <v>11</v>
      </c>
      <c r="B22" t="s">
        <v>10</v>
      </c>
      <c r="C22" t="s">
        <v>14</v>
      </c>
      <c r="D22" s="1">
        <v>-18.39</v>
      </c>
      <c r="E22" s="1">
        <v>9.3350000000000005E-9</v>
      </c>
      <c r="F22">
        <f>LOG(ABS(D22)/E22)</f>
        <v>9.2944674069529807</v>
      </c>
    </row>
    <row r="23" spans="1:7" x14ac:dyDescent="0.2">
      <c r="A23" t="s">
        <v>11</v>
      </c>
      <c r="B23" t="s">
        <v>6</v>
      </c>
      <c r="C23" t="s">
        <v>14</v>
      </c>
      <c r="D23" s="1">
        <v>-33.26</v>
      </c>
      <c r="E23" s="1">
        <v>7.4250000000000006E-8</v>
      </c>
      <c r="F23">
        <f t="shared" ref="F23:F26" si="2">LOG(ABS(D23)/E23)</f>
        <v>8.6512257868942513</v>
      </c>
      <c r="G23">
        <f>F23-F22</f>
        <v>-0.64324162005872942</v>
      </c>
    </row>
    <row r="24" spans="1:7" x14ac:dyDescent="0.2">
      <c r="A24" t="s">
        <v>11</v>
      </c>
      <c r="B24" t="s">
        <v>7</v>
      </c>
      <c r="C24" t="s">
        <v>14</v>
      </c>
      <c r="D24" s="1">
        <v>-15.35</v>
      </c>
      <c r="E24" s="1">
        <v>7.2449999999999997E-9</v>
      </c>
      <c r="F24">
        <f t="shared" si="2"/>
        <v>9.3260699900060118</v>
      </c>
      <c r="G24">
        <f>F24-F22</f>
        <v>3.1602583053031097E-2</v>
      </c>
    </row>
    <row r="25" spans="1:7" x14ac:dyDescent="0.2">
      <c r="A25" t="s">
        <v>11</v>
      </c>
      <c r="B25" t="s">
        <v>8</v>
      </c>
      <c r="C25" t="s">
        <v>14</v>
      </c>
      <c r="D25" s="1">
        <v>-27.51</v>
      </c>
      <c r="E25" s="1">
        <v>4.4700000000000003E-8</v>
      </c>
      <c r="F25">
        <f t="shared" si="2"/>
        <v>8.7891830672577473</v>
      </c>
      <c r="G25">
        <f>F25-F22</f>
        <v>-0.50528433969523334</v>
      </c>
    </row>
    <row r="26" spans="1:7" x14ac:dyDescent="0.2">
      <c r="A26" t="s">
        <v>11</v>
      </c>
      <c r="B26" t="s">
        <v>9</v>
      </c>
      <c r="C26" t="s">
        <v>14</v>
      </c>
      <c r="D26" s="1">
        <v>-39.04</v>
      </c>
      <c r="E26" s="1">
        <v>1.237E-7</v>
      </c>
      <c r="F26">
        <f t="shared" si="2"/>
        <v>8.4991401093655341</v>
      </c>
      <c r="G26">
        <f>F26-F22</f>
        <v>-0.79532729758744658</v>
      </c>
    </row>
    <row r="27" spans="1:7" x14ac:dyDescent="0.2">
      <c r="A27" t="s">
        <v>11</v>
      </c>
      <c r="B27" t="s">
        <v>10</v>
      </c>
      <c r="C27" t="s">
        <v>12</v>
      </c>
    </row>
    <row r="28" spans="1:7" x14ac:dyDescent="0.2">
      <c r="A28" t="s">
        <v>11</v>
      </c>
      <c r="B28" t="s">
        <v>6</v>
      </c>
      <c r="C28" t="s">
        <v>12</v>
      </c>
    </row>
    <row r="29" spans="1:7" x14ac:dyDescent="0.2">
      <c r="A29" t="s">
        <v>11</v>
      </c>
      <c r="B29" t="s">
        <v>7</v>
      </c>
      <c r="C29" t="s">
        <v>12</v>
      </c>
    </row>
    <row r="30" spans="1:7" x14ac:dyDescent="0.2">
      <c r="A30" t="s">
        <v>11</v>
      </c>
      <c r="B30" t="s">
        <v>8</v>
      </c>
      <c r="C30" t="s">
        <v>12</v>
      </c>
    </row>
    <row r="31" spans="1:7" x14ac:dyDescent="0.2">
      <c r="A31" t="s">
        <v>11</v>
      </c>
      <c r="B31" t="s">
        <v>9</v>
      </c>
      <c r="C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2023-01-09T16:02:54Z</dcterms:created>
  <dcterms:modified xsi:type="dcterms:W3CDTF">2023-01-09T18:01:55Z</dcterms:modified>
</cp:coreProperties>
</file>