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chemokine_gpcr_ms/F5/ackr1_data_/"/>
    </mc:Choice>
  </mc:AlternateContent>
  <xr:revisionPtr revIDLastSave="0" documentId="13_ncr:1_{BB0590BF-7E79-0440-A499-ECB8974EA356}" xr6:coauthVersionLast="47" xr6:coauthVersionMax="47" xr10:uidLastSave="{00000000-0000-0000-0000-000000000000}"/>
  <bookViews>
    <workbookView xWindow="380" yWindow="500" windowWidth="28040" windowHeight="16940" xr2:uid="{FDABE2AE-E311-4540-90BD-5EC986D75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<sst xmlns="http://schemas.openxmlformats.org/spreadsheetml/2006/main" count="281" uniqueCount="124">
  <si>
    <t>hot_ligand</t>
  </si>
  <si>
    <t>cold_ligand</t>
  </si>
  <si>
    <t>ackr1_variant</t>
  </si>
  <si>
    <t>ic50</t>
  </si>
  <si>
    <t>log_ic50</t>
  </si>
  <si>
    <t>ic50_95pct_ci</t>
  </si>
  <si>
    <t>logic50_95pct_ci</t>
  </si>
  <si>
    <t>ccl2</t>
  </si>
  <si>
    <t>cxcl1</t>
  </si>
  <si>
    <t>cxcl5</t>
  </si>
  <si>
    <t>cxcl6</t>
  </si>
  <si>
    <t>cxcl8</t>
  </si>
  <si>
    <t>cxcl11</t>
  </si>
  <si>
    <t>cxcl12</t>
  </si>
  <si>
    <t>ccl5</t>
  </si>
  <si>
    <t>ccl7</t>
  </si>
  <si>
    <t>ccl11</t>
  </si>
  <si>
    <t>ccl13</t>
  </si>
  <si>
    <t>ccl13pE</t>
  </si>
  <si>
    <t>ccl14</t>
  </si>
  <si>
    <t>ccl17</t>
  </si>
  <si>
    <t>G42</t>
  </si>
  <si>
    <t>-7.885 to -7.130</t>
  </si>
  <si>
    <t>???</t>
  </si>
  <si>
    <t>-7.366 to ???</t>
  </si>
  <si>
    <t>-7.486 to ???</t>
  </si>
  <si>
    <t>-7.552 to -5.745</t>
  </si>
  <si>
    <t>-8.316 to -6.807</t>
  </si>
  <si>
    <t>-8.905 to ???</t>
  </si>
  <si>
    <t>-9.438 to -8.094</t>
  </si>
  <si>
    <t>-7.900 to -6.816</t>
  </si>
  <si>
    <t>-7.734 to -6.079</t>
  </si>
  <si>
    <t>-7.577 to -5.469</t>
  </si>
  <si>
    <t>-7.616 to ???</t>
  </si>
  <si>
    <t>-7.398 to -6.284</t>
  </si>
  <si>
    <t>1.303e-008 to 7.410e-008</t>
  </si>
  <si>
    <t>4.301e-008 to ???</t>
  </si>
  <si>
    <t>3.265e-008 to ???</t>
  </si>
  <si>
    <t>2.806e-008 to 1.801e-006</t>
  </si>
  <si>
    <t>4.831e-009 to 1.559e-007</t>
  </si>
  <si>
    <t>1.244e-009 to ???</t>
  </si>
  <si>
    <t>3.649e-010 to 8.056e-009</t>
  </si>
  <si>
    <t>1.259e-008 to 1.528e-007</t>
  </si>
  <si>
    <t>1.847e-008 to 8.328e-007</t>
  </si>
  <si>
    <t>2.650e-008 to 3.397e-006</t>
  </si>
  <si>
    <t>2.421e-008 to ???</t>
  </si>
  <si>
    <t>3.999e-008 to 5.202e-007</t>
  </si>
  <si>
    <t>r_squared</t>
  </si>
  <si>
    <t>D42</t>
  </si>
  <si>
    <t>-8.383 to -7.142</t>
  </si>
  <si>
    <t>-7.701 to ???</t>
  </si>
  <si>
    <t>-7.598 to -6.225</t>
  </si>
  <si>
    <t>-8.123 to ???</t>
  </si>
  <si>
    <t>-8.233 to ???</t>
  </si>
  <si>
    <t>-8.662 to -7.011</t>
  </si>
  <si>
    <t>-9.718 to ???</t>
  </si>
  <si>
    <t>-9.052 to -7.800</t>
  </si>
  <si>
    <t>-8.277 to -6.647</t>
  </si>
  <si>
    <t>-7.686 to -6.393</t>
  </si>
  <si>
    <t>-7.906 to ???</t>
  </si>
  <si>
    <t>-7.646 to ???</t>
  </si>
  <si>
    <t>-7.279 to ???</t>
  </si>
  <si>
    <t>4.137e-009 to 7.210e-008</t>
  </si>
  <si>
    <t>1.989e-008 to ???</t>
  </si>
  <si>
    <t>2.522e-008 to 5.953e-007</t>
  </si>
  <si>
    <t>7.529e-009 to ???</t>
  </si>
  <si>
    <t>5.845e-009 to ???</t>
  </si>
  <si>
    <t>2.177e-009 to 9.749e-008</t>
  </si>
  <si>
    <t>1.916e-010 to ???</t>
  </si>
  <si>
    <t>8.873e-010 to 1.584e-008</t>
  </si>
  <si>
    <t>5.282e-009 to 2.252e-007</t>
  </si>
  <si>
    <t>2.061e-008 to 4.044e-007</t>
  </si>
  <si>
    <t>1.243e-008 to ???</t>
  </si>
  <si>
    <t>2.258e-008 to ???</t>
  </si>
  <si>
    <t>5.262e-008 to ???</t>
  </si>
  <si>
    <t>-6.867 to ???</t>
  </si>
  <si>
    <t>-7.807 to ???</t>
  </si>
  <si>
    <t>-7.568 to ???</t>
  </si>
  <si>
    <t>-8.449 to ???</t>
  </si>
  <si>
    <t>-8.359 to ???</t>
  </si>
  <si>
    <t>-8.468 to -7.748</t>
  </si>
  <si>
    <t>-7.983 to -5.629</t>
  </si>
  <si>
    <t>-8.696 to ???</t>
  </si>
  <si>
    <t>-9.056 to ???</t>
  </si>
  <si>
    <t>-8.848 to ???</t>
  </si>
  <si>
    <t>-7.164 to ???</t>
  </si>
  <si>
    <t>1.357e-007 to ???</t>
  </si>
  <si>
    <t>1.558e-008 to ???</t>
  </si>
  <si>
    <t>2.707e-008 to ???</t>
  </si>
  <si>
    <t>3.554e-009 to ???</t>
  </si>
  <si>
    <t>4.372e-009 to ???</t>
  </si>
  <si>
    <t>3.404e-009 to 1.788e-008</t>
  </si>
  <si>
    <t>1.040e-008 to 2.349e-006</t>
  </si>
  <si>
    <t>2.013e-009 to ???</t>
  </si>
  <si>
    <t>8.792e-010 to ???</t>
  </si>
  <si>
    <t>1.419e-009 to ???</t>
  </si>
  <si>
    <t>6.852e-008 to ???</t>
  </si>
  <si>
    <t>-7.413 to -6.477</t>
  </si>
  <si>
    <t>-7.086 to ???</t>
  </si>
  <si>
    <t>-7.521 to -5.359</t>
  </si>
  <si>
    <t>-7.511 to ???</t>
  </si>
  <si>
    <t>-8.461 to ???</t>
  </si>
  <si>
    <t>-8.641 to -6.889</t>
  </si>
  <si>
    <t>-8.709 to ???</t>
  </si>
  <si>
    <t>-8.657 to -7.522</t>
  </si>
  <si>
    <t>-8.071 to -6.371</t>
  </si>
  <si>
    <t>-7.407 to ???</t>
  </si>
  <si>
    <t>-7.737 to ???</t>
  </si>
  <si>
    <t>-7.585 to ???</t>
  </si>
  <si>
    <t>-7.600 to ???</t>
  </si>
  <si>
    <t>3.860e-008 to 3.334e-007</t>
  </si>
  <si>
    <t>8.206e-008 to ???</t>
  </si>
  <si>
    <t>3.011e-008 to 4.375e-006</t>
  </si>
  <si>
    <t>3.082e-008 to ???</t>
  </si>
  <si>
    <t>3.458e-009 to ???</t>
  </si>
  <si>
    <t>2.284e-009 to 1.291e-007</t>
  </si>
  <si>
    <t>1.956e-009 to ???</t>
  </si>
  <si>
    <t>2.203e-009 to 3.004e-008</t>
  </si>
  <si>
    <t>8.486e-009 to 4.253e-007</t>
  </si>
  <si>
    <t>3.920e-008 to ???</t>
  </si>
  <si>
    <t>1.833e-008 to ???</t>
  </si>
  <si>
    <t>2.597e-008 to ???</t>
  </si>
  <si>
    <t>2.511e-008 to ???</t>
  </si>
  <si>
    <t>Need to normalize all to equavelnt topo/bottom before taking  EC50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</si>
</sst>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1" fontId="1" fillId="2" borderId="0" xfId="0" applyNumberFormat="1" applyFont="1" applyFill="1"/>
    <xf numFmtId="0" fontId="0" fillId="2" borderId="0" xfId="0" applyFont="1" applyFill="1"/>
    <xf numFmtId="11" fontId="4" fillId="2" borderId="0" xfId="0" applyNumberFormat="1" applyFont="1" applyFill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11" fontId="0" fillId="2" borderId="2" xfId="0" applyNumberFormat="1" applyFill="1" applyBorder="1"/>
    <xf numFmtId="11" fontId="1" fillId="2" borderId="2" xfId="0" applyNumberFormat="1" applyFont="1" applyFill="1" applyBorder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  <xf numFmtId="0" fontId="6" fillId="0" borderId="0" xfId="0" applyFont="1"/>
    <xf numFmtId="0" fontId="5" fillId="2" borderId="2" xfId="0" applyFont="1" applyFill="1" applyBorder="1"/>
    <xf numFmtId="0" fontId="7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4C39-2BFC-494C-8505-97B3F98CAC85}">
  <dimension ref="A1:Y57"/>
  <sheetViews>
    <sheetView tabSelected="1" workbookViewId="0">
      <selection activeCell="I15" sqref="I15"/>
    </sheetView>
  </sheetViews>
  <sheetFormatPr baseColWidth="10" defaultRowHeight="16" x14ac:dyDescent="0.2"/>
  <cols>
    <col min="6" max="6" width="23.1640625" customWidth="1"/>
    <col min="7" max="7" width="17.6640625" customWidth="1"/>
    <col min="8" max="8" width="10.83203125" style="14"/>
  </cols>
  <sheetData>
    <row r="1" spans="1:24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5</v>
      </c>
      <c r="H1" s="14" t="s">
        <v>47</v>
      </c>
    </row>
    <row r="2" spans="1:24" x14ac:dyDescent="0.2">
      <c r="A2" t="s">
        <v>7</v>
      </c>
      <c r="B2" t="s">
        <v>8</v>
      </c>
      <c r="C2" t="s">
        <v>21</v>
      </c>
      <c r="D2">
        <v>-7.508</v>
      </c>
      <c r="E2" s="3">
        <v>3.1020000000000002E-8</v>
      </c>
      <c r="F2" t="s">
        <v>22</v>
      </c>
      <c r="G2" t="s">
        <v>35</v>
      </c>
      <c r="H2" s="14">
        <v>0.94350000000000001</v>
      </c>
      <c r="I2">
        <f>D2/D16</f>
        <v>0.96603190941842509</v>
      </c>
      <c r="J2" s="3">
        <f>E2/E16</f>
        <v>1.8344175044352455</v>
      </c>
    </row>
    <row r="3" spans="1:24" x14ac:dyDescent="0.2">
      <c r="A3" s="4" t="s">
        <v>7</v>
      </c>
      <c r="B3" s="4" t="s">
        <v>9</v>
      </c>
      <c r="C3" s="4" t="s">
        <v>21</v>
      </c>
      <c r="D3" s="4">
        <v>-6.6180000000000003</v>
      </c>
      <c r="E3" s="4">
        <v>2.41E-7</v>
      </c>
      <c r="F3" s="4" t="s">
        <v>23</v>
      </c>
      <c r="G3" s="4" t="s">
        <v>23</v>
      </c>
      <c r="H3" s="15">
        <v>0.53979999999999995</v>
      </c>
      <c r="I3" s="4">
        <f>D3/D17</f>
        <v>1.0227167362076959</v>
      </c>
      <c r="J3" s="7">
        <f>E3/E17</f>
        <v>0.71301775147929003</v>
      </c>
    </row>
    <row r="4" spans="1:24" x14ac:dyDescent="0.2">
      <c r="A4" s="4" t="s">
        <v>7</v>
      </c>
      <c r="B4" s="4" t="s">
        <v>10</v>
      </c>
      <c r="C4" s="4" t="s">
        <v>21</v>
      </c>
      <c r="D4" s="4">
        <v>-6.609</v>
      </c>
      <c r="E4" s="8">
        <v>2.4610000000000001E-7</v>
      </c>
      <c r="F4" s="4" t="s">
        <v>24</v>
      </c>
      <c r="G4" s="4" t="s">
        <v>36</v>
      </c>
      <c r="H4" s="16">
        <v>0.85160000000000002</v>
      </c>
      <c r="I4" s="4">
        <f>D4/D18</f>
        <v>0.95148286783760438</v>
      </c>
      <c r="J4" s="6">
        <f>E4/E18</f>
        <v>2.1721094439541044</v>
      </c>
    </row>
    <row r="5" spans="1:24" x14ac:dyDescent="0.2">
      <c r="A5" t="s">
        <v>7</v>
      </c>
      <c r="B5" t="s">
        <v>11</v>
      </c>
      <c r="C5" t="s">
        <v>21</v>
      </c>
      <c r="D5">
        <v>-6.7169999999999996</v>
      </c>
      <c r="E5" s="3">
        <v>1.9210000000000001E-7</v>
      </c>
      <c r="F5" t="s">
        <v>25</v>
      </c>
      <c r="G5" t="s">
        <v>37</v>
      </c>
      <c r="H5" s="14">
        <v>0.80649999999999999</v>
      </c>
      <c r="I5">
        <f>D5/D19</f>
        <v>0.99940485046868022</v>
      </c>
      <c r="J5" s="3">
        <f>E5/E19</f>
        <v>1.0105207785376118</v>
      </c>
    </row>
    <row r="6" spans="1:24" x14ac:dyDescent="0.2">
      <c r="A6" t="s">
        <v>7</v>
      </c>
      <c r="B6" t="s">
        <v>12</v>
      </c>
      <c r="C6" t="s">
        <v>21</v>
      </c>
      <c r="D6">
        <v>-6.8220000000000001</v>
      </c>
      <c r="E6" s="3">
        <v>1.5069999999999999E-7</v>
      </c>
      <c r="F6" t="s">
        <v>26</v>
      </c>
      <c r="G6" t="s">
        <v>38</v>
      </c>
      <c r="H6" s="14">
        <v>0.86709999999999998</v>
      </c>
      <c r="I6">
        <f>D6/D20</f>
        <v>0.97736389684813751</v>
      </c>
      <c r="J6" s="3">
        <f>E6/E20</f>
        <v>1.4407265774378586</v>
      </c>
    </row>
    <row r="7" spans="1:24" x14ac:dyDescent="0.2">
      <c r="A7" t="s">
        <v>7</v>
      </c>
      <c r="B7" t="s">
        <v>13</v>
      </c>
      <c r="C7" t="s">
        <v>21</v>
      </c>
      <c r="D7">
        <v>-13.57</v>
      </c>
      <c r="E7" s="3">
        <v>2.7119999999999999E-14</v>
      </c>
      <c r="F7">
        <v>0</v>
      </c>
      <c r="G7">
        <v>0</v>
      </c>
      <c r="H7" s="17">
        <v>0</v>
      </c>
      <c r="I7">
        <f>D7/D21</f>
        <v>1.9715240447479296</v>
      </c>
      <c r="J7" s="3">
        <f>E7/E21</f>
        <v>2.0718105423987779E-7</v>
      </c>
    </row>
    <row r="8" spans="1:24" x14ac:dyDescent="0.2">
      <c r="A8" t="s">
        <v>7</v>
      </c>
      <c r="B8" t="s">
        <v>7</v>
      </c>
      <c r="C8" t="s">
        <v>21</v>
      </c>
      <c r="D8">
        <v>-7.5750000000000002</v>
      </c>
      <c r="E8" s="3">
        <v>2.658E-8</v>
      </c>
      <c r="F8" t="s">
        <v>27</v>
      </c>
      <c r="G8" t="s">
        <v>39</v>
      </c>
      <c r="H8" s="14">
        <v>0.83160000000000001</v>
      </c>
      <c r="I8">
        <f>D8/D22</f>
        <v>0.96817484662576692</v>
      </c>
      <c r="J8" s="3">
        <f>E8/E22</f>
        <v>1.7731821214142762</v>
      </c>
    </row>
    <row r="9" spans="1:24" x14ac:dyDescent="0.2">
      <c r="A9" t="s">
        <v>7</v>
      </c>
      <c r="B9" t="s">
        <v>14</v>
      </c>
      <c r="C9" t="s">
        <v>21</v>
      </c>
      <c r="D9">
        <v>-6.4889999999999999</v>
      </c>
      <c r="E9">
        <v>3.2399999999999999E-7</v>
      </c>
      <c r="F9" t="s">
        <v>28</v>
      </c>
      <c r="G9" t="s">
        <v>40</v>
      </c>
      <c r="H9" s="14">
        <v>0.41959999999999997</v>
      </c>
      <c r="I9">
        <f>D9/D23</f>
        <v>0.97140718562874251</v>
      </c>
      <c r="J9" s="3">
        <f>E9/E23</f>
        <v>1.5487571701720841</v>
      </c>
      <c r="O9" t="s">
        <v>123</v>
      </c>
    </row>
    <row r="10" spans="1:24" x14ac:dyDescent="0.2">
      <c r="A10" s="4" t="s">
        <v>7</v>
      </c>
      <c r="B10" s="4" t="s">
        <v>15</v>
      </c>
      <c r="C10" s="4" t="s">
        <v>21</v>
      </c>
      <c r="D10" s="4">
        <v>-8.4939999999999998</v>
      </c>
      <c r="E10" s="5">
        <v>3.2059999999999999E-9</v>
      </c>
      <c r="F10" s="4" t="s">
        <v>29</v>
      </c>
      <c r="G10" s="4" t="s">
        <v>41</v>
      </c>
      <c r="H10" s="16">
        <v>0.94379999999999997</v>
      </c>
      <c r="I10" s="4">
        <f>D10/D24</f>
        <v>1.0268375241779497</v>
      </c>
      <c r="J10" s="6">
        <f>E10/E24</f>
        <v>0.59970071081182186</v>
      </c>
    </row>
    <row r="11" spans="1:24" x14ac:dyDescent="0.2">
      <c r="A11" t="s">
        <v>7</v>
      </c>
      <c r="B11" t="s">
        <v>16</v>
      </c>
      <c r="C11" t="s">
        <v>21</v>
      </c>
      <c r="D11">
        <v>-7.3209999999999997</v>
      </c>
      <c r="E11" s="3">
        <v>4.772E-8</v>
      </c>
      <c r="F11" t="s">
        <v>30</v>
      </c>
      <c r="G11" t="s">
        <v>42</v>
      </c>
      <c r="H11" s="14">
        <v>0.91149999999999998</v>
      </c>
      <c r="I11">
        <f>D11/D25</f>
        <v>0.98097279914243596</v>
      </c>
      <c r="J11" s="3">
        <f>E11/E25</f>
        <v>1.3855981416957026</v>
      </c>
    </row>
    <row r="12" spans="1:24" x14ac:dyDescent="0.2">
      <c r="A12" t="s">
        <v>7</v>
      </c>
      <c r="B12" t="s">
        <v>17</v>
      </c>
      <c r="C12" t="s">
        <v>21</v>
      </c>
      <c r="D12">
        <v>-6.9790000000000001</v>
      </c>
      <c r="E12" s="3">
        <v>1.0490000000000001E-7</v>
      </c>
      <c r="F12" t="s">
        <v>31</v>
      </c>
      <c r="G12" t="s">
        <v>43</v>
      </c>
      <c r="H12" s="14">
        <v>0.83279999999999998</v>
      </c>
      <c r="I12">
        <f>D12/D26</f>
        <v>0.99035050376046552</v>
      </c>
      <c r="J12" s="3">
        <f>E12/E26</f>
        <v>1.1681514476614701</v>
      </c>
    </row>
    <row r="13" spans="1:24" x14ac:dyDescent="0.2">
      <c r="A13" t="s">
        <v>7</v>
      </c>
      <c r="B13" t="s">
        <v>18</v>
      </c>
      <c r="C13" t="s">
        <v>21</v>
      </c>
      <c r="D13">
        <v>-6.8449999999999998</v>
      </c>
      <c r="E13" s="3">
        <v>1.427E-7</v>
      </c>
      <c r="F13" t="s">
        <v>32</v>
      </c>
      <c r="G13" t="s">
        <v>44</v>
      </c>
      <c r="H13" s="14">
        <v>0.83299999999999996</v>
      </c>
      <c r="I13">
        <f>D13/D27</f>
        <v>0.99868689816165734</v>
      </c>
      <c r="J13" s="3">
        <f>E13/E27</f>
        <v>1.0185581727337616</v>
      </c>
    </row>
    <row r="14" spans="1:24" x14ac:dyDescent="0.2">
      <c r="A14" s="4" t="s">
        <v>7</v>
      </c>
      <c r="B14" s="4" t="s">
        <v>19</v>
      </c>
      <c r="C14" s="4" t="s">
        <v>21</v>
      </c>
      <c r="D14" s="4">
        <v>-6.8170000000000002</v>
      </c>
      <c r="E14" s="5">
        <v>1.5239999999999999E-7</v>
      </c>
      <c r="F14" s="4" t="s">
        <v>33</v>
      </c>
      <c r="G14" s="4" t="s">
        <v>45</v>
      </c>
      <c r="H14" s="16">
        <v>0.81850000000000001</v>
      </c>
      <c r="I14" s="4">
        <f>D14/D28</f>
        <v>1.0208146151542379</v>
      </c>
      <c r="J14" s="6">
        <f>E14/E28</f>
        <v>0.72675250357653787</v>
      </c>
    </row>
    <row r="15" spans="1:24" ht="17" thickBot="1" x14ac:dyDescent="0.25">
      <c r="A15" s="11" t="s">
        <v>7</v>
      </c>
      <c r="B15" s="11" t="s">
        <v>20</v>
      </c>
      <c r="C15" s="11" t="s">
        <v>21</v>
      </c>
      <c r="D15" s="11">
        <v>-6.8970000000000002</v>
      </c>
      <c r="E15" s="12">
        <v>1.269E-7</v>
      </c>
      <c r="F15" s="11" t="s">
        <v>34</v>
      </c>
      <c r="G15" s="11" t="s">
        <v>46</v>
      </c>
      <c r="H15" s="18">
        <v>0.89580000000000004</v>
      </c>
      <c r="I15" s="11">
        <f>D15/D29</f>
        <v>1.0622208532265516</v>
      </c>
      <c r="J15" s="13">
        <f>E15/E29</f>
        <v>0.39446689462231899</v>
      </c>
      <c r="K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7" thickTop="1" x14ac:dyDescent="0.2">
      <c r="A16" t="s">
        <v>7</v>
      </c>
      <c r="B16" t="s">
        <v>8</v>
      </c>
      <c r="C16" t="s">
        <v>48</v>
      </c>
      <c r="D16">
        <v>-7.7720000000000002</v>
      </c>
      <c r="E16">
        <v>1.6910000000000001E-8</v>
      </c>
      <c r="F16" t="s">
        <v>49</v>
      </c>
      <c r="G16" t="s">
        <v>62</v>
      </c>
      <c r="H16" s="14">
        <v>0.85160000000000002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3" x14ac:dyDescent="0.2">
      <c r="A17" t="s">
        <v>7</v>
      </c>
      <c r="B17" t="s">
        <v>9</v>
      </c>
      <c r="C17" t="s">
        <v>48</v>
      </c>
      <c r="D17">
        <v>-6.4710000000000001</v>
      </c>
      <c r="E17">
        <v>3.3799999999999998E-7</v>
      </c>
      <c r="F17" t="s">
        <v>50</v>
      </c>
      <c r="G17" s="2" t="s">
        <v>63</v>
      </c>
      <c r="H17" s="19">
        <v>0.66859999999999997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3" x14ac:dyDescent="0.2">
      <c r="A18" t="s">
        <v>7</v>
      </c>
      <c r="B18" t="s">
        <v>10</v>
      </c>
      <c r="C18" t="s">
        <v>48</v>
      </c>
      <c r="D18">
        <v>-6.9459999999999997</v>
      </c>
      <c r="E18">
        <v>1.133E-7</v>
      </c>
      <c r="F18" t="s">
        <v>51</v>
      </c>
      <c r="G18" t="s">
        <v>64</v>
      </c>
      <c r="H18" s="14">
        <v>0.87439999999999996</v>
      </c>
    </row>
    <row r="19" spans="1:23" x14ac:dyDescent="0.2">
      <c r="A19" t="s">
        <v>7</v>
      </c>
      <c r="B19" t="s">
        <v>11</v>
      </c>
      <c r="C19" t="s">
        <v>48</v>
      </c>
      <c r="D19">
        <v>-6.7210000000000001</v>
      </c>
      <c r="E19">
        <v>1.9009999999999999E-7</v>
      </c>
      <c r="F19" t="s">
        <v>52</v>
      </c>
      <c r="G19" t="s">
        <v>65</v>
      </c>
      <c r="H19" s="14">
        <v>0.65890000000000004</v>
      </c>
    </row>
    <row r="20" spans="1:23" x14ac:dyDescent="0.2">
      <c r="A20" t="s">
        <v>7</v>
      </c>
      <c r="B20" t="s">
        <v>12</v>
      </c>
      <c r="C20" t="s">
        <v>48</v>
      </c>
      <c r="D20">
        <v>-6.98</v>
      </c>
      <c r="E20">
        <v>1.046E-7</v>
      </c>
      <c r="F20" t="s">
        <v>53</v>
      </c>
      <c r="G20" t="s">
        <v>66</v>
      </c>
      <c r="H20" s="14">
        <v>0.71079999999999999</v>
      </c>
    </row>
    <row r="21" spans="1:23" x14ac:dyDescent="0.2">
      <c r="A21" t="s">
        <v>7</v>
      </c>
      <c r="B21" t="s">
        <v>13</v>
      </c>
      <c r="C21" t="s">
        <v>48</v>
      </c>
      <c r="D21">
        <v>-6.883</v>
      </c>
      <c r="E21">
        <v>1.3089999999999999E-7</v>
      </c>
      <c r="F21" t="s">
        <v>23</v>
      </c>
      <c r="G21" t="s">
        <v>23</v>
      </c>
      <c r="H21" s="14">
        <v>7.7299999999999999E-3</v>
      </c>
    </row>
    <row r="22" spans="1:23" x14ac:dyDescent="0.2">
      <c r="A22" t="s">
        <v>7</v>
      </c>
      <c r="B22" t="s">
        <v>7</v>
      </c>
      <c r="C22" t="s">
        <v>48</v>
      </c>
      <c r="D22">
        <v>-7.8239999999999998</v>
      </c>
      <c r="E22">
        <v>1.4990000000000001E-8</v>
      </c>
      <c r="F22" t="s">
        <v>54</v>
      </c>
      <c r="G22" t="s">
        <v>67</v>
      </c>
      <c r="H22" s="14">
        <v>0.79879999999999995</v>
      </c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t="s">
        <v>7</v>
      </c>
      <c r="B23" t="s">
        <v>14</v>
      </c>
      <c r="C23" t="s">
        <v>48</v>
      </c>
      <c r="D23">
        <v>-6.68</v>
      </c>
      <c r="E23">
        <v>2.0919999999999999E-7</v>
      </c>
      <c r="F23" t="s">
        <v>55</v>
      </c>
      <c r="G23" t="s">
        <v>68</v>
      </c>
      <c r="H23" s="14">
        <v>0.49530000000000002</v>
      </c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t="s">
        <v>7</v>
      </c>
      <c r="B24" t="s">
        <v>15</v>
      </c>
      <c r="C24" t="s">
        <v>48</v>
      </c>
      <c r="D24">
        <v>-8.2720000000000002</v>
      </c>
      <c r="E24">
        <v>5.3460000000000004E-9</v>
      </c>
      <c r="F24" t="s">
        <v>56</v>
      </c>
      <c r="G24" t="s">
        <v>69</v>
      </c>
      <c r="H24" s="14">
        <v>0.90690000000000004</v>
      </c>
    </row>
    <row r="25" spans="1:23" x14ac:dyDescent="0.2">
      <c r="A25" t="s">
        <v>7</v>
      </c>
      <c r="B25" t="s">
        <v>16</v>
      </c>
      <c r="C25" t="s">
        <v>48</v>
      </c>
      <c r="D25">
        <v>-7.4630000000000001</v>
      </c>
      <c r="E25">
        <v>3.4440000000000003E-8</v>
      </c>
      <c r="F25" t="s">
        <v>57</v>
      </c>
      <c r="G25" t="s">
        <v>70</v>
      </c>
      <c r="H25" s="14">
        <v>0.76919999999999999</v>
      </c>
    </row>
    <row r="26" spans="1:23" x14ac:dyDescent="0.2">
      <c r="A26" t="s">
        <v>7</v>
      </c>
      <c r="B26" t="s">
        <v>17</v>
      </c>
      <c r="C26" t="s">
        <v>48</v>
      </c>
      <c r="D26">
        <v>-7.0469999999999997</v>
      </c>
      <c r="E26">
        <v>8.9799999999999997E-8</v>
      </c>
      <c r="F26" t="s">
        <v>58</v>
      </c>
      <c r="G26" t="s">
        <v>71</v>
      </c>
      <c r="H26" s="14">
        <v>0.86619999999999997</v>
      </c>
    </row>
    <row r="27" spans="1:23" x14ac:dyDescent="0.2">
      <c r="A27" t="s">
        <v>7</v>
      </c>
      <c r="B27" t="s">
        <v>18</v>
      </c>
      <c r="C27" t="s">
        <v>48</v>
      </c>
      <c r="D27">
        <v>-6.8540000000000001</v>
      </c>
      <c r="E27">
        <v>1.4009999999999999E-7</v>
      </c>
      <c r="F27" t="s">
        <v>59</v>
      </c>
      <c r="G27" t="s">
        <v>72</v>
      </c>
      <c r="H27" s="14">
        <v>0.66710000000000003</v>
      </c>
    </row>
    <row r="28" spans="1:23" x14ac:dyDescent="0.2">
      <c r="A28" t="s">
        <v>7</v>
      </c>
      <c r="B28" t="s">
        <v>19</v>
      </c>
      <c r="C28" t="s">
        <v>48</v>
      </c>
      <c r="D28">
        <v>-6.6779999999999999</v>
      </c>
      <c r="E28">
        <v>2.0970000000000001E-7</v>
      </c>
      <c r="F28" t="s">
        <v>60</v>
      </c>
      <c r="G28" t="s">
        <v>73</v>
      </c>
      <c r="H28" s="14">
        <v>0.72950000000000004</v>
      </c>
    </row>
    <row r="29" spans="1:23" ht="17" thickBot="1" x14ac:dyDescent="0.25">
      <c r="A29" s="9" t="s">
        <v>7</v>
      </c>
      <c r="B29" s="9" t="s">
        <v>20</v>
      </c>
      <c r="C29" s="9" t="s">
        <v>48</v>
      </c>
      <c r="D29" s="9">
        <v>-6.4930000000000003</v>
      </c>
      <c r="E29" s="9">
        <v>3.2169999999999998E-7</v>
      </c>
      <c r="F29" s="9" t="s">
        <v>61</v>
      </c>
      <c r="G29" s="9" t="s">
        <v>74</v>
      </c>
      <c r="H29" s="20">
        <v>0.78759999999999997</v>
      </c>
      <c r="I29" s="9"/>
      <c r="J29" s="9"/>
      <c r="K29" s="9"/>
    </row>
    <row r="30" spans="1:23" x14ac:dyDescent="0.2">
      <c r="A30" t="s">
        <v>8</v>
      </c>
      <c r="B30" t="s">
        <v>8</v>
      </c>
      <c r="C30" t="s">
        <v>21</v>
      </c>
      <c r="D30">
        <v>-6.2279999999999998</v>
      </c>
      <c r="E30">
        <v>5.919E-7</v>
      </c>
      <c r="F30" t="s">
        <v>75</v>
      </c>
      <c r="G30" t="s">
        <v>86</v>
      </c>
      <c r="H30" s="14">
        <v>0.89070000000000005</v>
      </c>
      <c r="I30">
        <f>D30/D44</f>
        <v>0.89277522935779818</v>
      </c>
    </row>
    <row r="31" spans="1:23" x14ac:dyDescent="0.2">
      <c r="A31" t="s">
        <v>8</v>
      </c>
      <c r="B31" t="s">
        <v>9</v>
      </c>
      <c r="C31" t="s">
        <v>21</v>
      </c>
      <c r="D31">
        <v>-0.97599999999999998</v>
      </c>
      <c r="E31">
        <v>0.1057</v>
      </c>
      <c r="F31">
        <v>0</v>
      </c>
      <c r="G31">
        <v>0</v>
      </c>
      <c r="H31" s="14">
        <v>0</v>
      </c>
      <c r="I31">
        <f>D31/D45</f>
        <v>0.3135239318984902</v>
      </c>
    </row>
    <row r="32" spans="1:23" x14ac:dyDescent="0.2">
      <c r="A32" t="s">
        <v>8</v>
      </c>
      <c r="B32" t="s">
        <v>10</v>
      </c>
      <c r="C32" t="s">
        <v>21</v>
      </c>
      <c r="D32">
        <v>-6.8150000000000004</v>
      </c>
      <c r="E32">
        <v>1.5309999999999999E-7</v>
      </c>
      <c r="F32" t="s">
        <v>76</v>
      </c>
      <c r="G32" t="s">
        <v>87</v>
      </c>
      <c r="H32" s="14">
        <v>0.71099999999999997</v>
      </c>
      <c r="I32">
        <f>D32/D46</f>
        <v>1.0025007355104443</v>
      </c>
    </row>
    <row r="33" spans="1:25" x14ac:dyDescent="0.2">
      <c r="A33" t="s">
        <v>8</v>
      </c>
      <c r="B33" t="s">
        <v>11</v>
      </c>
      <c r="C33" t="s">
        <v>21</v>
      </c>
      <c r="D33">
        <v>-4.2779999999999996</v>
      </c>
      <c r="E33">
        <v>5.2760000000000003E-5</v>
      </c>
      <c r="F33" t="s">
        <v>77</v>
      </c>
      <c r="G33" t="s">
        <v>88</v>
      </c>
      <c r="H33" s="14">
        <v>0.56479999999999997</v>
      </c>
      <c r="I33">
        <f>D33/D47</f>
        <v>0.67883211678832112</v>
      </c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5" x14ac:dyDescent="0.2">
      <c r="A34" t="s">
        <v>8</v>
      </c>
      <c r="B34" t="s">
        <v>12</v>
      </c>
      <c r="C34" t="s">
        <v>21</v>
      </c>
      <c r="D34">
        <v>-6.8019999999999996</v>
      </c>
      <c r="E34">
        <v>1.579E-7</v>
      </c>
      <c r="F34" t="s">
        <v>78</v>
      </c>
      <c r="G34" t="s">
        <v>89</v>
      </c>
      <c r="H34" s="14">
        <v>0.64680000000000004</v>
      </c>
      <c r="I34">
        <f>D34/D48</f>
        <v>0.97743928725391582</v>
      </c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5" x14ac:dyDescent="0.2">
      <c r="A35" t="s">
        <v>8</v>
      </c>
      <c r="B35" t="s">
        <v>13</v>
      </c>
      <c r="C35" t="s">
        <v>21</v>
      </c>
      <c r="D35">
        <v>-6.9180000000000001</v>
      </c>
      <c r="E35">
        <v>1.208E-7</v>
      </c>
      <c r="F35" t="s">
        <v>23</v>
      </c>
      <c r="G35" t="s">
        <v>23</v>
      </c>
      <c r="H35" s="14">
        <v>3.8580000000000003E-2</v>
      </c>
      <c r="I35">
        <f>D35/D49</f>
        <v>5.9586563307493536</v>
      </c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5" x14ac:dyDescent="0.2">
      <c r="A36" t="s">
        <v>8</v>
      </c>
      <c r="B36" t="s">
        <v>7</v>
      </c>
      <c r="C36" t="s">
        <v>21</v>
      </c>
      <c r="D36">
        <v>-7.0869999999999997</v>
      </c>
      <c r="E36">
        <v>8.1860000000000006E-8</v>
      </c>
      <c r="F36" t="s">
        <v>79</v>
      </c>
      <c r="G36" t="s">
        <v>90</v>
      </c>
      <c r="H36" s="14">
        <v>0.68789999999999996</v>
      </c>
      <c r="I36">
        <f>D36/D50</f>
        <v>0.91127684196991121</v>
      </c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5" x14ac:dyDescent="0.2">
      <c r="A37" t="s">
        <v>8</v>
      </c>
      <c r="B37" t="s">
        <v>14</v>
      </c>
      <c r="C37" t="s">
        <v>21</v>
      </c>
      <c r="D37">
        <v>-2.3279999999999998</v>
      </c>
      <c r="E37">
        <v>4.7029999999999997E-3</v>
      </c>
      <c r="F37">
        <v>0</v>
      </c>
      <c r="G37">
        <v>0</v>
      </c>
      <c r="H37" s="14">
        <v>0</v>
      </c>
      <c r="I37">
        <f>D37/D51</f>
        <v>0.34458259325044399</v>
      </c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5" x14ac:dyDescent="0.2">
      <c r="A38" t="s">
        <v>8</v>
      </c>
      <c r="B38" t="s">
        <v>15</v>
      </c>
      <c r="C38" t="s">
        <v>21</v>
      </c>
      <c r="D38">
        <v>-8.0960000000000001</v>
      </c>
      <c r="E38">
        <v>8.0179999999999994E-9</v>
      </c>
      <c r="F38" t="s">
        <v>80</v>
      </c>
      <c r="G38" t="s">
        <v>91</v>
      </c>
      <c r="H38" s="14">
        <v>0.95109999999999995</v>
      </c>
      <c r="I38">
        <f>D38/D52</f>
        <v>1.0042173158025305</v>
      </c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t="s">
        <v>8</v>
      </c>
      <c r="B39" t="s">
        <v>16</v>
      </c>
      <c r="C39" t="s">
        <v>21</v>
      </c>
      <c r="D39">
        <v>-6.9509999999999996</v>
      </c>
      <c r="E39">
        <v>1.118E-7</v>
      </c>
      <c r="F39" t="s">
        <v>81</v>
      </c>
      <c r="G39" t="s">
        <v>92</v>
      </c>
      <c r="H39" s="14">
        <v>0.81269999999999998</v>
      </c>
      <c r="I39">
        <f>D39/D48</f>
        <v>0.99885040954160076</v>
      </c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t="s">
        <v>8</v>
      </c>
      <c r="B40" t="s">
        <v>17</v>
      </c>
      <c r="C40" t="s">
        <v>21</v>
      </c>
      <c r="D40">
        <v>-7.1219999999999999</v>
      </c>
      <c r="E40">
        <v>7.5450000000000004E-8</v>
      </c>
      <c r="F40" t="s">
        <v>82</v>
      </c>
      <c r="G40" t="s">
        <v>93</v>
      </c>
      <c r="H40" s="14">
        <v>0.57120000000000004</v>
      </c>
      <c r="I40">
        <f>D40/D54</f>
        <v>1.0680863827234552</v>
      </c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t="s">
        <v>8</v>
      </c>
      <c r="B41" t="s">
        <v>18</v>
      </c>
      <c r="C41" t="s">
        <v>21</v>
      </c>
      <c r="D41">
        <v>-6.4160000000000004</v>
      </c>
      <c r="E41">
        <v>3.841E-7</v>
      </c>
      <c r="F41" t="s">
        <v>83</v>
      </c>
      <c r="G41" t="s">
        <v>94</v>
      </c>
      <c r="H41" s="14">
        <v>0.47139999999999999</v>
      </c>
      <c r="I41">
        <f>D41/D55</f>
        <v>0.94911242603550305</v>
      </c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t="s">
        <v>8</v>
      </c>
      <c r="B42" t="s">
        <v>19</v>
      </c>
      <c r="C42" t="s">
        <v>21</v>
      </c>
      <c r="D42">
        <v>-6.851</v>
      </c>
      <c r="E42">
        <v>1.409E-7</v>
      </c>
      <c r="F42" t="s">
        <v>84</v>
      </c>
      <c r="G42" t="s">
        <v>95</v>
      </c>
      <c r="H42" s="14">
        <v>0.50239999999999996</v>
      </c>
      <c r="I42">
        <f>D42/D56</f>
        <v>1.0510892911936176</v>
      </c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t="s">
        <v>8</v>
      </c>
      <c r="B43" t="s">
        <v>20</v>
      </c>
      <c r="C43" t="s">
        <v>21</v>
      </c>
      <c r="D43">
        <v>-4.9589999999999996</v>
      </c>
      <c r="E43">
        <v>1.099E-5</v>
      </c>
      <c r="F43" t="s">
        <v>85</v>
      </c>
      <c r="G43" t="s">
        <v>96</v>
      </c>
      <c r="H43" s="14">
        <v>0.68620000000000003</v>
      </c>
      <c r="I43">
        <f>D43/D57</f>
        <v>0.74605085000752214</v>
      </c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t="s">
        <v>8</v>
      </c>
      <c r="B44" t="s">
        <v>8</v>
      </c>
      <c r="C44" t="s">
        <v>48</v>
      </c>
      <c r="D44">
        <v>-6.976</v>
      </c>
      <c r="E44">
        <v>1.0560000000000001E-7</v>
      </c>
      <c r="F44" t="s">
        <v>97</v>
      </c>
      <c r="G44" t="s">
        <v>110</v>
      </c>
      <c r="H44" s="14">
        <v>0.90080000000000005</v>
      </c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t="s">
        <v>8</v>
      </c>
      <c r="B45" t="s">
        <v>9</v>
      </c>
      <c r="C45" t="s">
        <v>48</v>
      </c>
      <c r="D45">
        <v>-3.113</v>
      </c>
      <c r="E45">
        <v>7.7010000000000002E-4</v>
      </c>
      <c r="F45" t="s">
        <v>98</v>
      </c>
      <c r="G45" t="s">
        <v>111</v>
      </c>
      <c r="H45" s="14">
        <v>0.55669999999999997</v>
      </c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t="s">
        <v>8</v>
      </c>
      <c r="B46" t="s">
        <v>10</v>
      </c>
      <c r="C46" t="s">
        <v>48</v>
      </c>
      <c r="D46">
        <v>-6.798</v>
      </c>
      <c r="E46">
        <v>1.5909999999999999E-7</v>
      </c>
      <c r="F46" t="s">
        <v>99</v>
      </c>
      <c r="G46" t="s">
        <v>112</v>
      </c>
      <c r="H46" s="14">
        <v>0.85260000000000002</v>
      </c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t="s">
        <v>8</v>
      </c>
      <c r="B47" t="s">
        <v>11</v>
      </c>
      <c r="C47" t="s">
        <v>48</v>
      </c>
      <c r="D47">
        <v>-6.3019999999999996</v>
      </c>
      <c r="E47">
        <v>4.9859999999999998E-7</v>
      </c>
      <c r="F47" t="s">
        <v>100</v>
      </c>
      <c r="G47" t="s">
        <v>113</v>
      </c>
      <c r="H47" s="14">
        <v>0.68240000000000001</v>
      </c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t="s">
        <v>8</v>
      </c>
      <c r="B48" t="s">
        <v>12</v>
      </c>
      <c r="C48" t="s">
        <v>48</v>
      </c>
      <c r="D48">
        <v>-6.9589999999999996</v>
      </c>
      <c r="E48">
        <v>1.098E-7</v>
      </c>
      <c r="F48" t="s">
        <v>101</v>
      </c>
      <c r="G48" t="s">
        <v>114</v>
      </c>
      <c r="H48" s="14">
        <v>0.59089999999999998</v>
      </c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t="s">
        <v>8</v>
      </c>
      <c r="B49" t="s">
        <v>13</v>
      </c>
      <c r="C49" t="s">
        <v>48</v>
      </c>
      <c r="D49">
        <v>-1.161</v>
      </c>
      <c r="E49">
        <v>6.9070000000000006E-2</v>
      </c>
      <c r="F49">
        <v>0</v>
      </c>
      <c r="G49">
        <v>0</v>
      </c>
      <c r="H49" s="14">
        <v>0</v>
      </c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t="s">
        <v>8</v>
      </c>
      <c r="B50" t="s">
        <v>7</v>
      </c>
      <c r="C50" t="s">
        <v>48</v>
      </c>
      <c r="D50">
        <v>-7.7770000000000001</v>
      </c>
      <c r="E50">
        <v>1.6700000000000001E-8</v>
      </c>
      <c r="F50" t="s">
        <v>102</v>
      </c>
      <c r="G50" t="s">
        <v>115</v>
      </c>
      <c r="H50" s="14">
        <v>0.79779999999999995</v>
      </c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t="s">
        <v>8</v>
      </c>
      <c r="B51" t="s">
        <v>14</v>
      </c>
      <c r="C51" t="s">
        <v>48</v>
      </c>
      <c r="D51">
        <v>-6.7560000000000002</v>
      </c>
      <c r="E51">
        <v>1.7529999999999999E-7</v>
      </c>
      <c r="F51" t="s">
        <v>103</v>
      </c>
      <c r="G51" t="s">
        <v>116</v>
      </c>
      <c r="H51" s="14">
        <v>0.49230000000000002</v>
      </c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t="s">
        <v>8</v>
      </c>
      <c r="B52" t="s">
        <v>15</v>
      </c>
      <c r="C52" t="s">
        <v>48</v>
      </c>
      <c r="D52">
        <v>-8.0619999999999994</v>
      </c>
      <c r="E52">
        <v>8.6680000000000003E-9</v>
      </c>
      <c r="F52" t="s">
        <v>104</v>
      </c>
      <c r="G52" t="s">
        <v>117</v>
      </c>
      <c r="H52" s="14">
        <v>0.89800000000000002</v>
      </c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t="s">
        <v>8</v>
      </c>
      <c r="B53" t="s">
        <v>16</v>
      </c>
      <c r="C53" t="s">
        <v>48</v>
      </c>
      <c r="D53">
        <v>-7.1929999999999996</v>
      </c>
      <c r="E53">
        <v>6.4080000000000002E-8</v>
      </c>
      <c r="F53" t="s">
        <v>105</v>
      </c>
      <c r="G53" t="s">
        <v>118</v>
      </c>
      <c r="H53" s="14">
        <v>0.81659999999999999</v>
      </c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t="s">
        <v>8</v>
      </c>
      <c r="B54" t="s">
        <v>17</v>
      </c>
      <c r="C54" t="s">
        <v>48</v>
      </c>
      <c r="D54">
        <v>-6.6680000000000001</v>
      </c>
      <c r="E54">
        <v>2.146E-7</v>
      </c>
      <c r="F54" t="s">
        <v>106</v>
      </c>
      <c r="G54" t="s">
        <v>119</v>
      </c>
      <c r="H54" s="14">
        <v>0.81799999999999995</v>
      </c>
    </row>
    <row r="55" spans="1:25" x14ac:dyDescent="0.2">
      <c r="A55" t="s">
        <v>8</v>
      </c>
      <c r="B55" t="s">
        <v>18</v>
      </c>
      <c r="C55" t="s">
        <v>48</v>
      </c>
      <c r="D55">
        <v>-6.76</v>
      </c>
      <c r="E55">
        <v>1.7380000000000001E-7</v>
      </c>
      <c r="F55" t="s">
        <v>107</v>
      </c>
      <c r="G55" t="s">
        <v>120</v>
      </c>
      <c r="H55" s="14">
        <v>0.71179999999999999</v>
      </c>
    </row>
    <row r="56" spans="1:25" x14ac:dyDescent="0.2">
      <c r="A56" t="s">
        <v>8</v>
      </c>
      <c r="B56" t="s">
        <v>19</v>
      </c>
      <c r="C56" t="s">
        <v>48</v>
      </c>
      <c r="D56">
        <v>-6.5179999999999998</v>
      </c>
      <c r="E56">
        <v>3.0349999999999998E-7</v>
      </c>
      <c r="F56" t="s">
        <v>108</v>
      </c>
      <c r="G56" t="s">
        <v>121</v>
      </c>
      <c r="H56" s="14">
        <v>0.71140000000000003</v>
      </c>
    </row>
    <row r="57" spans="1:25" x14ac:dyDescent="0.2">
      <c r="A57" t="s">
        <v>8</v>
      </c>
      <c r="B57" t="s">
        <v>20</v>
      </c>
      <c r="C57" t="s">
        <v>48</v>
      </c>
      <c r="D57">
        <v>-6.6470000000000002</v>
      </c>
      <c r="E57">
        <v>2.2530000000000001E-7</v>
      </c>
      <c r="F57" t="s">
        <v>109</v>
      </c>
      <c r="G57" t="s">
        <v>122</v>
      </c>
      <c r="H57" s="14">
        <v>0.73270000000000002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2023-06-04T22:51:29Z</dcterms:created>
  <dcterms:modified xsi:type="dcterms:W3CDTF">2023-06-05T16:45:55Z</dcterms:modified>
</cp:coreProperties>
</file>