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leist/Desktop/Volkman_Lab/BABU_VOLKMAN/CHEMOKINE_PRJ/Data/chemokine_gpcr_ms/F5/ackr1_data_/full_dose_resp/"/>
    </mc:Choice>
  </mc:AlternateContent>
  <xr:revisionPtr revIDLastSave="0" documentId="13_ncr:1_{6BBD5758-C6EF-B54D-9C28-3E9E6E06DE8C}" xr6:coauthVersionLast="47" xr6:coauthVersionMax="47" xr10:uidLastSave="{00000000-0000-0000-0000-000000000000}"/>
  <bookViews>
    <workbookView xWindow="480" yWindow="-18680" windowWidth="28040" windowHeight="16940" xr2:uid="{4A8CF887-7E23-E14D-98D5-4D19B9F360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<sst xmlns="http://schemas.openxmlformats.org/spreadsheetml/2006/main" count="55" uniqueCount="32">
  <si>
    <t>CCL7</t>
  </si>
  <si>
    <t>chemokine</t>
  </si>
  <si>
    <t>G42D_EC50</t>
  </si>
  <si>
    <t>WT_EC50</t>
  </si>
  <si>
    <t>CCL2</t>
  </si>
  <si>
    <t>CXCL1</t>
  </si>
  <si>
    <t>CXCL8</t>
  </si>
  <si>
    <t>CXCL11</t>
  </si>
  <si>
    <t>CXCL12</t>
  </si>
  <si>
    <t>EC50_ratio_WT_over_G42D</t>
  </si>
  <si>
    <t>replicate</t>
  </si>
  <si>
    <t>EC50</t>
  </si>
  <si>
    <t>WT_vs_G42D</t>
  </si>
  <si>
    <t>P value equals 0.0812 </t>
  </si>
  <si>
    <t>The two-tailed P value equals 0.0152 </t>
  </si>
  <si>
    <t>The two-tailed P value equals 0.2468 </t>
  </si>
  <si>
    <t>**</t>
  </si>
  <si>
    <t>Note</t>
  </si>
  <si>
    <t>P-value</t>
  </si>
  <si>
    <t>Chemokine</t>
  </si>
  <si>
    <t>EC50 Ratio (WT / G42D)</t>
  </si>
  <si>
    <t>EC50 WT (nM)</t>
  </si>
  <si>
    <t>EC50 G42D (nM)</t>
  </si>
  <si>
    <t>WT binds better</t>
  </si>
  <si>
    <t>G42D binds better</t>
  </si>
  <si>
    <t>Two ways of looking at this – (1) modest changes caused by G42D "don't matter" – functionally insignificant; (2) these changes do matter and do affect coupling</t>
  </si>
  <si>
    <t xml:space="preserve">Kyler – NMR data? Model of interaction? </t>
  </si>
  <si>
    <t>"Comparison of binding EC50s reveals subtle but consistent enhancement in affinity among chemokines for D42 (FYB) versus G42 (FYA)</t>
  </si>
  <si>
    <t>"Other studies have shown decreased sequestration of chemokines with G42 (FYA), consistent with decreased affinity of chemokines for FYA shown here.</t>
  </si>
  <si>
    <t>"If seqeusrationa dn affinity are lower, why would this allele exist? Decreased malaria transmission among G42 (FYA) than D42</t>
  </si>
  <si>
    <t>Bar graphs?</t>
  </si>
  <si>
    <t>Works if independent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</si>
</sst>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6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11" fontId="2" fillId="0" borderId="0" xfId="0" applyNumberFormat="1" applyFont="1"/>
    <xf numFmtId="0" fontId="1" fillId="0" borderId="0" xfId="0" applyFont="1"/>
    <xf numFmtId="0" fontId="3" fillId="0" borderId="0" xfId="0" applyFo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367D-6242-9249-A7EB-CBF7E3B6FCA5}">
  <dimension ref="A1:J25"/>
  <sheetViews>
    <sheetView tabSelected="1" topLeftCell="A3" zoomScale="125" workbookViewId="0">
      <selection activeCell="B8" sqref="B8"/>
    </sheetView>
  </sheetViews>
  <sheetFormatPr baseColWidth="10" defaultRowHeight="16" x14ac:dyDescent="0.2"/>
  <cols>
    <col min="4" max="4" width="23.33203125" customWidth="1"/>
    <col min="6" max="6" width="16.33203125" customWidth="1"/>
    <col min="7" max="7" width="19" customWidth="1"/>
    <col min="8" max="8" width="24" customWidth="1"/>
    <col min="10" max="10" width="16.83203125" customWidth="1"/>
  </cols>
  <sheetData>
    <row r="1" spans="1:10" x14ac:dyDescent="0.2">
      <c r="A1" t="s">
        <v>1</v>
      </c>
      <c r="B1" t="s">
        <v>3</v>
      </c>
      <c r="C1" t="s">
        <v>2</v>
      </c>
      <c r="D1" s="3" t="s">
        <v>9</v>
      </c>
    </row>
    <row r="2" spans="1:10" ht="21" x14ac:dyDescent="0.25">
      <c r="A2" t="s">
        <v>0</v>
      </c>
      <c r="B2" s="1">
        <v>1.344E-8</v>
      </c>
      <c r="C2" s="1">
        <v>5.7010000000000001E-9</v>
      </c>
      <c r="D2" s="2">
        <f>B2/C2</f>
        <v>2.3574811436590073</v>
      </c>
      <c r="E2" s="4" t="s">
        <v>14</v>
      </c>
    </row>
    <row r="3" spans="1:10" ht="21" x14ac:dyDescent="0.25">
      <c r="A3" t="s">
        <v>4</v>
      </c>
      <c r="B3" s="1">
        <v>7.4050000000000005E-8</v>
      </c>
      <c r="C3" s="1">
        <v>2.2959999999999998E-8</v>
      </c>
      <c r="D3" s="2">
        <f t="shared" ref="D3:D6" si="0">B3/C3</f>
        <v>3.2251742160278751</v>
      </c>
      <c r="E3" s="4" t="s">
        <v>13</v>
      </c>
    </row>
    <row r="4" spans="1:10" ht="21" x14ac:dyDescent="0.25">
      <c r="A4" t="s">
        <v>5</v>
      </c>
      <c r="B4" s="1">
        <v>3.3540000000000001E-8</v>
      </c>
      <c r="C4" s="1">
        <v>1.466E-8</v>
      </c>
      <c r="D4" s="2">
        <f t="shared" si="0"/>
        <v>2.2878581173260573</v>
      </c>
      <c r="E4" s="4" t="s">
        <v>15</v>
      </c>
    </row>
    <row r="5" spans="1:10" x14ac:dyDescent="0.2">
      <c r="A5" t="s">
        <v>6</v>
      </c>
      <c r="B5" s="1">
        <v>5.1190000000000002E-7</v>
      </c>
      <c r="C5" s="1">
        <v>1.6110000000000001E-7</v>
      </c>
      <c r="D5" s="2">
        <f t="shared" si="0"/>
        <v>3.1775294847920548</v>
      </c>
    </row>
    <row r="6" spans="1:10" x14ac:dyDescent="0.2">
      <c r="A6" t="s">
        <v>7</v>
      </c>
      <c r="B6" s="1">
        <v>3.6790000000000001E-7</v>
      </c>
      <c r="C6" s="1">
        <v>2.0739999999999999E-7</v>
      </c>
      <c r="D6" s="2">
        <f t="shared" si="0"/>
        <v>1.7738669238187079</v>
      </c>
    </row>
    <row r="7" spans="1:10" x14ac:dyDescent="0.2">
      <c r="A7" t="s">
        <v>8</v>
      </c>
      <c r="B7" s="1">
        <v>1.117E-7</v>
      </c>
      <c r="C7" s="1">
        <v>7.1760000000000004E-6</v>
      </c>
      <c r="D7" s="2">
        <f>B7/C7</f>
        <v>1.5565774804905239E-2</v>
      </c>
    </row>
    <row r="8" spans="1:10" ht="17" thickBot="1" x14ac:dyDescent="0.25"/>
    <row r="9" spans="1:10" x14ac:dyDescent="0.2">
      <c r="E9" s="7" t="s">
        <v>19</v>
      </c>
      <c r="F9" s="8" t="s">
        <v>21</v>
      </c>
      <c r="G9" s="8" t="s">
        <v>22</v>
      </c>
      <c r="H9" s="8" t="s">
        <v>20</v>
      </c>
      <c r="I9" s="8" t="s">
        <v>18</v>
      </c>
      <c r="J9" s="9" t="s">
        <v>17</v>
      </c>
    </row>
    <row r="10" spans="1:10" x14ac:dyDescent="0.2">
      <c r="A10" t="s">
        <v>0</v>
      </c>
      <c r="B10" s="1">
        <v>13.4</v>
      </c>
      <c r="C10" s="1">
        <v>5.7</v>
      </c>
      <c r="E10" s="10" t="s">
        <v>0</v>
      </c>
      <c r="F10" s="5">
        <v>13.4</v>
      </c>
      <c r="G10" s="5">
        <v>5.7</v>
      </c>
      <c r="H10" s="6">
        <v>2.36</v>
      </c>
      <c r="I10" s="6">
        <v>1.52E-2</v>
      </c>
      <c r="J10" s="11" t="s">
        <v>24</v>
      </c>
    </row>
    <row r="11" spans="1:10" x14ac:dyDescent="0.2">
      <c r="A11" t="s">
        <v>4</v>
      </c>
      <c r="B11" s="1">
        <v>74.099999999999994</v>
      </c>
      <c r="C11" s="1">
        <v>2.2959999999999998E-8</v>
      </c>
      <c r="E11" s="10" t="s">
        <v>4</v>
      </c>
      <c r="F11" s="5">
        <v>74.099999999999994</v>
      </c>
      <c r="G11" s="5">
        <v>23</v>
      </c>
      <c r="H11" s="5">
        <v>3.23</v>
      </c>
      <c r="I11" s="5">
        <v>8.1199999999999994E-2</v>
      </c>
      <c r="J11" s="11" t="s">
        <v>24</v>
      </c>
    </row>
    <row r="12" spans="1:10" x14ac:dyDescent="0.2">
      <c r="A12" t="s">
        <v>5</v>
      </c>
      <c r="B12" s="1">
        <v>3.3540000000000001E-8</v>
      </c>
      <c r="C12" s="1">
        <v>1.466E-8</v>
      </c>
      <c r="E12" s="10" t="s">
        <v>5</v>
      </c>
      <c r="F12" s="5">
        <v>33.5</v>
      </c>
      <c r="G12" s="5">
        <v>14.7</v>
      </c>
      <c r="H12" s="5">
        <v>2.29</v>
      </c>
      <c r="I12" s="5">
        <v>0.24679999999999999</v>
      </c>
      <c r="J12" s="11" t="s">
        <v>24</v>
      </c>
    </row>
    <row r="13" spans="1:10" x14ac:dyDescent="0.2">
      <c r="A13" t="s">
        <v>6</v>
      </c>
      <c r="B13" s="1">
        <v>5.1190000000000002E-7</v>
      </c>
      <c r="C13" s="1">
        <v>1.6110000000000001E-7</v>
      </c>
      <c r="E13" s="10" t="s">
        <v>6</v>
      </c>
      <c r="F13" s="5">
        <v>512</v>
      </c>
      <c r="G13" s="5">
        <v>161</v>
      </c>
      <c r="H13" s="5">
        <v>3.18</v>
      </c>
      <c r="I13" s="5">
        <v>0.17549999999999999</v>
      </c>
      <c r="J13" s="11" t="s">
        <v>24</v>
      </c>
    </row>
    <row r="14" spans="1:10" x14ac:dyDescent="0.2">
      <c r="A14" t="s">
        <v>7</v>
      </c>
      <c r="B14" s="1">
        <v>3.6790000000000001E-7</v>
      </c>
      <c r="C14" s="1">
        <v>2.0739999999999999E-7</v>
      </c>
      <c r="E14" s="10" t="s">
        <v>7</v>
      </c>
      <c r="F14" s="5">
        <v>368</v>
      </c>
      <c r="G14" s="5">
        <v>207</v>
      </c>
      <c r="H14" s="6">
        <v>1.77</v>
      </c>
      <c r="I14" s="6">
        <v>3.0099999999999998E-2</v>
      </c>
      <c r="J14" s="11" t="s">
        <v>24</v>
      </c>
    </row>
    <row r="15" spans="1:10" ht="17" thickBot="1" x14ac:dyDescent="0.25">
      <c r="A15" t="s">
        <v>8</v>
      </c>
      <c r="B15" s="1">
        <v>1.117E-7</v>
      </c>
      <c r="C15" s="1">
        <v>7.1760000000000004E-6</v>
      </c>
      <c r="E15" s="12" t="s">
        <v>8</v>
      </c>
      <c r="F15" s="13">
        <v>112</v>
      </c>
      <c r="G15" s="13">
        <v>7180</v>
      </c>
      <c r="H15" s="13">
        <v>1.5599999999999999E-2</v>
      </c>
      <c r="I15" s="13">
        <v>0.35589999999999999</v>
      </c>
      <c r="J15" s="14" t="s">
        <v>23</v>
      </c>
    </row>
    <row r="16" spans="1:10" x14ac:dyDescent="0.2">
      <c r="E16" s="16" t="s">
        <v>31</v>
      </c>
    </row>
    <row r="17" spans="5:5" x14ac:dyDescent="0.2">
      <c r="E17" s="15" t="s">
        <v>30</v>
      </c>
    </row>
    <row r="19" spans="5:5" x14ac:dyDescent="0.2">
      <c r="E19" t="s">
        <v>25</v>
      </c>
    </row>
    <row r="20" spans="5:5" x14ac:dyDescent="0.2">
      <c r="E20" t="s">
        <v>27</v>
      </c>
    </row>
    <row r="21" spans="5:5" x14ac:dyDescent="0.2">
      <c r="E21" t="s">
        <v>28</v>
      </c>
    </row>
    <row r="22" spans="5:5" x14ac:dyDescent="0.2">
      <c r="E22" t="s">
        <v>29</v>
      </c>
    </row>
    <row r="25" spans="5:5" x14ac:dyDescent="0.2">
      <c r="E2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672F-AC92-7B42-82DC-0EDB95CFC71F}">
  <dimension ref="A1:G11"/>
  <sheetViews>
    <sheetView workbookViewId="0">
      <selection activeCell="A2" sqref="A2:F12"/>
    </sheetView>
  </sheetViews>
  <sheetFormatPr baseColWidth="10" defaultRowHeight="16" x14ac:dyDescent="0.2"/>
  <sheetData>
    <row r="1" spans="1:7" x14ac:dyDescent="0.2">
      <c r="A1" t="s">
        <v>1</v>
      </c>
      <c r="B1" t="s">
        <v>11</v>
      </c>
      <c r="C1" t="s">
        <v>12</v>
      </c>
      <c r="D1" t="s">
        <v>10</v>
      </c>
    </row>
    <row r="2" spans="1:7" ht="21" x14ac:dyDescent="0.25">
      <c r="A2" t="s">
        <v>4</v>
      </c>
      <c r="B2" s="4" t="s">
        <v>13</v>
      </c>
    </row>
    <row r="8" spans="1:7" ht="21" x14ac:dyDescent="0.25">
      <c r="A8" t="s">
        <v>0</v>
      </c>
      <c r="B8" s="4" t="s">
        <v>14</v>
      </c>
      <c r="G8" t="s">
        <v>16</v>
      </c>
    </row>
    <row r="11" spans="1:7" ht="21" x14ac:dyDescent="0.25">
      <c r="A11" t="s">
        <v>5</v>
      </c>
      <c r="B1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2023-09-11T11:44:50Z</dcterms:created>
  <dcterms:modified xsi:type="dcterms:W3CDTF">2023-09-13T15:09:40Z</dcterms:modified>
</cp:coreProperties>
</file>